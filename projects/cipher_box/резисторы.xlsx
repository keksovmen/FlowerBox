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8" i="1"/>
  <c r="H20" i="1" l="1"/>
  <c r="I20" i="1" s="1"/>
  <c r="H3" i="1"/>
  <c r="I3" i="1" s="1"/>
  <c r="H4" i="1"/>
  <c r="I4" i="1" s="1"/>
  <c r="J4" i="1" s="1"/>
  <c r="H5" i="1"/>
  <c r="I5" i="1" s="1"/>
  <c r="H6" i="1"/>
  <c r="I6" i="1" s="1"/>
  <c r="J6" i="1" s="1"/>
  <c r="H7" i="1"/>
  <c r="I7" i="1" s="1"/>
  <c r="H9" i="1"/>
  <c r="I9" i="1" s="1"/>
  <c r="H11" i="1"/>
  <c r="I11" i="1" s="1"/>
  <c r="H13" i="1"/>
  <c r="I13" i="1" s="1"/>
  <c r="H14" i="1"/>
  <c r="I14" i="1" s="1"/>
  <c r="H15" i="1"/>
  <c r="I15" i="1" s="1"/>
  <c r="H17" i="1"/>
  <c r="I17" i="1" s="1"/>
  <c r="H19" i="1"/>
  <c r="I19" i="1" s="1"/>
  <c r="H21" i="1"/>
  <c r="I21" i="1" s="1"/>
  <c r="J21" i="1" s="1"/>
  <c r="H2" i="1"/>
  <c r="I2" i="1" s="1"/>
  <c r="H18" i="1"/>
  <c r="I18" i="1" s="1"/>
  <c r="H16" i="1"/>
  <c r="I16" i="1" s="1"/>
  <c r="H12" i="1"/>
  <c r="I12" i="1" s="1"/>
  <c r="H10" i="1"/>
  <c r="I10" i="1" s="1"/>
  <c r="J10" i="1" s="1"/>
  <c r="G8" i="1"/>
  <c r="H8" i="1" s="1"/>
  <c r="I8" i="1" s="1"/>
  <c r="B2" i="1"/>
  <c r="C2" i="1" s="1"/>
  <c r="L4" i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" i="1"/>
  <c r="C3" i="1" s="1"/>
  <c r="J13" i="1" l="1"/>
  <c r="J3" i="1"/>
  <c r="J14" i="1"/>
  <c r="J2" i="1"/>
  <c r="J18" i="1"/>
  <c r="J17" i="1"/>
  <c r="D9" i="1"/>
  <c r="J5" i="1"/>
  <c r="J16" i="1"/>
  <c r="J8" i="1"/>
  <c r="J15" i="1"/>
  <c r="J20" i="1"/>
  <c r="J19" i="1"/>
  <c r="J12" i="1"/>
  <c r="J11" i="1"/>
  <c r="J9" i="1"/>
  <c r="J7" i="1"/>
  <c r="D2" i="1"/>
  <c r="D18" i="1"/>
  <c r="D6" i="1"/>
  <c r="D26" i="1"/>
  <c r="D3" i="1"/>
  <c r="D5" i="1"/>
  <c r="D23" i="1"/>
  <c r="D28" i="1"/>
  <c r="D16" i="1"/>
  <c r="D4" i="1"/>
  <c r="D21" i="1"/>
  <c r="D8" i="1"/>
  <c r="D19" i="1"/>
  <c r="D7" i="1"/>
  <c r="D20" i="1"/>
  <c r="D10" i="1"/>
  <c r="E11" i="1" s="1"/>
  <c r="D29" i="1"/>
  <c r="D17" i="1"/>
  <c r="E19" i="1" s="1"/>
  <c r="D14" i="1"/>
  <c r="E16" i="1" s="1"/>
  <c r="D22" i="1"/>
  <c r="D24" i="1"/>
  <c r="D13" i="1"/>
  <c r="D11" i="1"/>
  <c r="D12" i="1"/>
  <c r="D27" i="1"/>
  <c r="D15" i="1"/>
  <c r="D25" i="1"/>
  <c r="E9" i="1" l="1"/>
  <c r="E6" i="1"/>
  <c r="E25" i="1"/>
</calcChain>
</file>

<file path=xl/sharedStrings.xml><?xml version="1.0" encoding="utf-8"?>
<sst xmlns="http://schemas.openxmlformats.org/spreadsheetml/2006/main" count="18" uniqueCount="15">
  <si>
    <t>номиналы</t>
  </si>
  <si>
    <t>R1</t>
  </si>
  <si>
    <t>V</t>
  </si>
  <si>
    <t>Напряжение</t>
  </si>
  <si>
    <t>ADC</t>
  </si>
  <si>
    <t>Bias</t>
  </si>
  <si>
    <t>Номинал</t>
  </si>
  <si>
    <t>Delta</t>
  </si>
  <si>
    <t>Integral</t>
  </si>
  <si>
    <t>4700|2200</t>
  </si>
  <si>
    <t>5100|5100</t>
  </si>
  <si>
    <t>6800|10000</t>
  </si>
  <si>
    <t>6800|47000</t>
  </si>
  <si>
    <t>10000|47000</t>
  </si>
  <si>
    <t>20000|51000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</si>
</sst>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164" fontId="0" fillId="3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ADC</a:t>
            </a:r>
            <a:r>
              <a:rPr lang="en-US" baseline="0"/>
              <a:t> by resistance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Sheet1!$C$2:$C$30</c:f>
              <c:numCache>
                <c:formatCode>General</c:formatCode>
                <c:ptCount val="29"/>
                <c:pt idx="0">
                  <c:v>1003</c:v>
                </c:pt>
                <c:pt idx="1">
                  <c:v>1000</c:v>
                </c:pt>
                <c:pt idx="2">
                  <c:v>996</c:v>
                </c:pt>
                <c:pt idx="3">
                  <c:v>989</c:v>
                </c:pt>
                <c:pt idx="4">
                  <c:v>960</c:v>
                </c:pt>
                <c:pt idx="5">
                  <c:v>947</c:v>
                </c:pt>
                <c:pt idx="6">
                  <c:v>928</c:v>
                </c:pt>
                <c:pt idx="7">
                  <c:v>913</c:v>
                </c:pt>
                <c:pt idx="8">
                  <c:v>880</c:v>
                </c:pt>
                <c:pt idx="9">
                  <c:v>871</c:v>
                </c:pt>
                <c:pt idx="10">
                  <c:v>834</c:v>
                </c:pt>
                <c:pt idx="11">
                  <c:v>773</c:v>
                </c:pt>
                <c:pt idx="12">
                  <c:v>629</c:v>
                </c:pt>
                <c:pt idx="13">
                  <c:v>607</c:v>
                </c:pt>
                <c:pt idx="14">
                  <c:v>507</c:v>
                </c:pt>
                <c:pt idx="15">
                  <c:v>419</c:v>
                </c:pt>
                <c:pt idx="16">
                  <c:v>399</c:v>
                </c:pt>
                <c:pt idx="17">
                  <c:v>332</c:v>
                </c:pt>
                <c:pt idx="18">
                  <c:v>253</c:v>
                </c:pt>
                <c:pt idx="19">
                  <c:v>145</c:v>
                </c:pt>
                <c:pt idx="20">
                  <c:v>67</c:v>
                </c:pt>
                <c:pt idx="21">
                  <c:v>62</c:v>
                </c:pt>
                <c:pt idx="22">
                  <c:v>47</c:v>
                </c:pt>
                <c:pt idx="23">
                  <c:v>33</c:v>
                </c:pt>
                <c:pt idx="24">
                  <c:v>15</c:v>
                </c:pt>
                <c:pt idx="25">
                  <c:v>11</c:v>
                </c:pt>
                <c:pt idx="26">
                  <c:v>7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5-4CA5-9020-8F82069C7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284256"/>
        <c:axId val="1723078528"/>
      </c:lineChart>
      <c:catAx>
        <c:axId val="1640284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078528"/>
        <c:crosses val="autoZero"/>
        <c:auto val="1"/>
        <c:lblAlgn val="ctr"/>
        <c:lblOffset val="100"/>
        <c:noMultiLvlLbl val="0"/>
      </c:catAx>
      <c:valAx>
        <c:axId val="172307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28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Derivative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Sheet1!$D$2:$D$30</c:f>
              <c:numCache>
                <c:formatCode>General</c:formatCode>
                <c:ptCount val="29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29</c:v>
                </c:pt>
                <c:pt idx="4">
                  <c:v>13</c:v>
                </c:pt>
                <c:pt idx="5">
                  <c:v>19</c:v>
                </c:pt>
                <c:pt idx="6">
                  <c:v>15</c:v>
                </c:pt>
                <c:pt idx="7">
                  <c:v>33</c:v>
                </c:pt>
                <c:pt idx="8">
                  <c:v>9</c:v>
                </c:pt>
                <c:pt idx="9">
                  <c:v>37</c:v>
                </c:pt>
                <c:pt idx="10">
                  <c:v>61</c:v>
                </c:pt>
                <c:pt idx="11">
                  <c:v>144</c:v>
                </c:pt>
                <c:pt idx="12">
                  <c:v>22</c:v>
                </c:pt>
                <c:pt idx="13">
                  <c:v>100</c:v>
                </c:pt>
                <c:pt idx="14">
                  <c:v>88</c:v>
                </c:pt>
                <c:pt idx="15">
                  <c:v>20</c:v>
                </c:pt>
                <c:pt idx="16">
                  <c:v>67</c:v>
                </c:pt>
                <c:pt idx="17">
                  <c:v>79</c:v>
                </c:pt>
                <c:pt idx="18">
                  <c:v>108</c:v>
                </c:pt>
                <c:pt idx="19">
                  <c:v>78</c:v>
                </c:pt>
                <c:pt idx="20">
                  <c:v>5</c:v>
                </c:pt>
                <c:pt idx="21">
                  <c:v>15</c:v>
                </c:pt>
                <c:pt idx="22">
                  <c:v>14</c:v>
                </c:pt>
                <c:pt idx="23">
                  <c:v>18</c:v>
                </c:pt>
                <c:pt idx="24">
                  <c:v>4</c:v>
                </c:pt>
                <c:pt idx="25">
                  <c:v>4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3-49B5-A124-1D61497D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222240"/>
        <c:axId val="1643219744"/>
      </c:lineChart>
      <c:catAx>
        <c:axId val="164322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19744"/>
        <c:crosses val="autoZero"/>
        <c:auto val="1"/>
        <c:lblAlgn val="ctr"/>
        <c:lblOffset val="100"/>
        <c:noMultiLvlLbl val="0"/>
      </c:catAx>
      <c:valAx>
        <c:axId val="16432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2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16</xdr:row>
      <xdr:rowOff>41910</xdr:rowOff>
    </xdr:from>
    <xdr:to>
      <xdr:col>23</xdr:col>
      <xdr:colOff>320040</xdr:colOff>
      <xdr:row>31</xdr:row>
      <xdr:rowOff>41910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0</xdr:row>
      <xdr:rowOff>156210</xdr:rowOff>
    </xdr:from>
    <xdr:to>
      <xdr:col>23</xdr:col>
      <xdr:colOff>327660</xdr:colOff>
      <xdr:row>15</xdr:row>
      <xdr:rowOff>156210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G22" sqref="G22:G23"/>
    </sheetView>
  </sheetViews>
  <sheetFormatPr defaultRowHeight="14.4" x14ac:dyDescent="0.3"/>
  <sheetData>
    <row r="1" spans="1:14" x14ac:dyDescent="0.3">
      <c r="A1" t="s">
        <v>0</v>
      </c>
      <c r="B1" t="s">
        <v>3</v>
      </c>
      <c r="C1" t="s">
        <v>4</v>
      </c>
      <c r="D1" t="s">
        <v>7</v>
      </c>
      <c r="E1" t="s">
        <v>8</v>
      </c>
      <c r="G1" t="s">
        <v>6</v>
      </c>
      <c r="H1" t="s">
        <v>3</v>
      </c>
      <c r="I1" t="s">
        <v>4</v>
      </c>
      <c r="J1" t="s">
        <v>7</v>
      </c>
      <c r="L1" t="s">
        <v>1</v>
      </c>
      <c r="M1">
        <v>3300</v>
      </c>
    </row>
    <row r="2" spans="1:14" x14ac:dyDescent="0.3">
      <c r="A2" s="2">
        <v>0</v>
      </c>
      <c r="B2" s="1">
        <f t="shared" ref="B2:B30" si="0">$M$2-$M$2*(A2+$M$3)/($M$1+$M$3+A2)</f>
        <v>3.2314540059347179</v>
      </c>
      <c r="C2">
        <f t="shared" ref="C2:C30" si="1">ROUND((B2/$M$2)*1024, 0)</f>
        <v>1003</v>
      </c>
      <c r="D2">
        <f t="shared" ref="D2:D29" si="2">C2-C3</f>
        <v>3</v>
      </c>
      <c r="G2">
        <v>0</v>
      </c>
      <c r="H2" s="5">
        <f t="shared" ref="H2:H21" si="3">$M$2-$M$2*(G2+$M$3)/($M$1+$M$3+G2)</f>
        <v>3.2314540059347179</v>
      </c>
      <c r="I2">
        <f t="shared" ref="I2:I21" si="4">ROUND((H2/$M$2)*1024, 0)</f>
        <v>1003</v>
      </c>
      <c r="J2">
        <f>I2-I3</f>
        <v>43</v>
      </c>
      <c r="L2" t="s">
        <v>2</v>
      </c>
      <c r="M2">
        <v>3.3</v>
      </c>
    </row>
    <row r="3" spans="1:14" x14ac:dyDescent="0.3">
      <c r="A3">
        <v>10</v>
      </c>
      <c r="B3" s="1">
        <f t="shared" si="0"/>
        <v>3.22189349112426</v>
      </c>
      <c r="C3">
        <f t="shared" si="1"/>
        <v>1000</v>
      </c>
      <c r="D3">
        <f t="shared" si="2"/>
        <v>4</v>
      </c>
      <c r="G3">
        <v>150</v>
      </c>
      <c r="H3" s="5">
        <f t="shared" si="3"/>
        <v>3.09375</v>
      </c>
      <c r="I3">
        <f t="shared" si="4"/>
        <v>960</v>
      </c>
      <c r="J3">
        <f t="shared" ref="J3:J18" si="5">I3-I4</f>
        <v>47</v>
      </c>
      <c r="L3" t="s">
        <v>5</v>
      </c>
      <c r="M3">
        <v>70</v>
      </c>
    </row>
    <row r="4" spans="1:14" x14ac:dyDescent="0.3">
      <c r="A4">
        <v>22</v>
      </c>
      <c r="B4" s="1">
        <f t="shared" si="0"/>
        <v>3.2104952830188678</v>
      </c>
      <c r="C4">
        <f t="shared" si="1"/>
        <v>996</v>
      </c>
      <c r="D4">
        <f t="shared" si="2"/>
        <v>7</v>
      </c>
      <c r="G4">
        <v>330</v>
      </c>
      <c r="H4" s="5">
        <f t="shared" si="3"/>
        <v>2.9432432432432432</v>
      </c>
      <c r="I4">
        <f t="shared" si="4"/>
        <v>913</v>
      </c>
      <c r="J4">
        <f t="shared" si="5"/>
        <v>42</v>
      </c>
      <c r="L4">
        <f>1024/21</f>
        <v>48.761904761904759</v>
      </c>
    </row>
    <row r="5" spans="1:14" x14ac:dyDescent="0.3">
      <c r="A5">
        <v>47</v>
      </c>
      <c r="B5" s="1">
        <f t="shared" si="0"/>
        <v>3.1870061457418788</v>
      </c>
      <c r="C5">
        <f t="shared" si="1"/>
        <v>989</v>
      </c>
      <c r="D5">
        <f t="shared" si="2"/>
        <v>29</v>
      </c>
      <c r="G5">
        <v>510</v>
      </c>
      <c r="H5" s="5">
        <f t="shared" si="3"/>
        <v>2.8067010309278349</v>
      </c>
      <c r="I5">
        <f t="shared" si="4"/>
        <v>871</v>
      </c>
      <c r="J5">
        <f t="shared" si="5"/>
        <v>37</v>
      </c>
    </row>
    <row r="6" spans="1:14" x14ac:dyDescent="0.3">
      <c r="A6" s="2">
        <v>150</v>
      </c>
      <c r="B6" s="1">
        <f t="shared" si="0"/>
        <v>3.09375</v>
      </c>
      <c r="C6">
        <f t="shared" si="1"/>
        <v>960</v>
      </c>
      <c r="D6">
        <f t="shared" si="2"/>
        <v>13</v>
      </c>
      <c r="E6">
        <f>SUM(D2:D5)</f>
        <v>43</v>
      </c>
      <c r="G6">
        <v>680</v>
      </c>
      <c r="H6" s="5">
        <f t="shared" si="3"/>
        <v>2.6888888888888887</v>
      </c>
      <c r="I6">
        <f t="shared" si="4"/>
        <v>834</v>
      </c>
      <c r="J6">
        <f t="shared" si="5"/>
        <v>61</v>
      </c>
    </row>
    <row r="7" spans="1:14" x14ac:dyDescent="0.3">
      <c r="A7">
        <v>200</v>
      </c>
      <c r="B7" s="1">
        <f t="shared" si="0"/>
        <v>3.0504201680672267</v>
      </c>
      <c r="C7">
        <f t="shared" si="1"/>
        <v>947</v>
      </c>
      <c r="D7">
        <f t="shared" si="2"/>
        <v>19</v>
      </c>
      <c r="G7">
        <v>1000</v>
      </c>
      <c r="H7" s="5">
        <f t="shared" si="3"/>
        <v>2.4919908466819223</v>
      </c>
      <c r="I7">
        <f t="shared" si="4"/>
        <v>773</v>
      </c>
      <c r="J7">
        <f t="shared" si="5"/>
        <v>79</v>
      </c>
      <c r="L7">
        <v>20000</v>
      </c>
      <c r="M7">
        <v>51000</v>
      </c>
    </row>
    <row r="8" spans="1:14" x14ac:dyDescent="0.3">
      <c r="A8">
        <v>270</v>
      </c>
      <c r="B8" s="1">
        <f t="shared" si="0"/>
        <v>2.9917582417582418</v>
      </c>
      <c r="C8">
        <f t="shared" si="1"/>
        <v>928</v>
      </c>
      <c r="D8">
        <f t="shared" si="2"/>
        <v>15</v>
      </c>
      <c r="G8" s="2">
        <f>(G9+G7)/2</f>
        <v>1500</v>
      </c>
      <c r="H8" s="5">
        <f t="shared" si="3"/>
        <v>2.2361396303901433</v>
      </c>
      <c r="I8">
        <f t="shared" si="4"/>
        <v>694</v>
      </c>
      <c r="J8">
        <f t="shared" si="5"/>
        <v>65</v>
      </c>
      <c r="K8" t="s">
        <v>9</v>
      </c>
      <c r="L8">
        <f>(L7*M7)/(L7+M7)</f>
        <v>14366.197183098591</v>
      </c>
      <c r="M8">
        <v>15000</v>
      </c>
      <c r="N8">
        <v>68000</v>
      </c>
    </row>
    <row r="9" spans="1:14" x14ac:dyDescent="0.3">
      <c r="A9" s="2">
        <v>330</v>
      </c>
      <c r="B9" s="1">
        <f t="shared" si="0"/>
        <v>2.9432432432432432</v>
      </c>
      <c r="C9">
        <f t="shared" si="1"/>
        <v>913</v>
      </c>
      <c r="D9">
        <f t="shared" si="2"/>
        <v>33</v>
      </c>
      <c r="E9">
        <f>SUM(D6:D8)</f>
        <v>47</v>
      </c>
      <c r="G9">
        <v>2000</v>
      </c>
      <c r="H9" s="5">
        <f t="shared" si="3"/>
        <v>2.0279329608938546</v>
      </c>
      <c r="I9">
        <f t="shared" si="4"/>
        <v>629</v>
      </c>
      <c r="J9">
        <f t="shared" si="5"/>
        <v>58</v>
      </c>
      <c r="L9">
        <f>-(M8*N8)/(M8-N8)</f>
        <v>19245.283018867925</v>
      </c>
    </row>
    <row r="10" spans="1:14" x14ac:dyDescent="0.3">
      <c r="A10">
        <v>470</v>
      </c>
      <c r="B10" s="1">
        <f t="shared" si="0"/>
        <v>2.8359375</v>
      </c>
      <c r="C10">
        <f t="shared" si="1"/>
        <v>880</v>
      </c>
      <c r="D10">
        <f t="shared" si="2"/>
        <v>9</v>
      </c>
      <c r="G10" s="2">
        <v>2550</v>
      </c>
      <c r="H10" s="5">
        <f t="shared" si="3"/>
        <v>1.8395270270270268</v>
      </c>
      <c r="I10">
        <f t="shared" si="4"/>
        <v>571</v>
      </c>
      <c r="J10">
        <f t="shared" si="5"/>
        <v>64</v>
      </c>
      <c r="K10" t="s">
        <v>10</v>
      </c>
    </row>
    <row r="11" spans="1:14" x14ac:dyDescent="0.3">
      <c r="A11" s="2">
        <v>510</v>
      </c>
      <c r="B11" s="1">
        <f t="shared" si="0"/>
        <v>2.8067010309278349</v>
      </c>
      <c r="C11">
        <f t="shared" si="1"/>
        <v>871</v>
      </c>
      <c r="D11">
        <f t="shared" si="2"/>
        <v>37</v>
      </c>
      <c r="E11">
        <f>SUM(D9:D10)</f>
        <v>42</v>
      </c>
      <c r="G11">
        <v>3300</v>
      </c>
      <c r="H11" s="5">
        <f t="shared" si="3"/>
        <v>1.6326836581709143</v>
      </c>
      <c r="I11">
        <f t="shared" si="4"/>
        <v>507</v>
      </c>
      <c r="J11">
        <f t="shared" si="5"/>
        <v>51</v>
      </c>
    </row>
    <row r="12" spans="1:14" x14ac:dyDescent="0.3">
      <c r="A12" s="2">
        <v>680</v>
      </c>
      <c r="B12" s="1">
        <f t="shared" si="0"/>
        <v>2.6888888888888887</v>
      </c>
      <c r="C12">
        <f t="shared" si="1"/>
        <v>834</v>
      </c>
      <c r="D12">
        <f t="shared" si="2"/>
        <v>61</v>
      </c>
      <c r="G12" s="2">
        <v>4047</v>
      </c>
      <c r="H12" s="5">
        <f t="shared" si="3"/>
        <v>1.4682486180396386</v>
      </c>
      <c r="I12">
        <f t="shared" si="4"/>
        <v>456</v>
      </c>
      <c r="J12">
        <f t="shared" si="5"/>
        <v>37</v>
      </c>
      <c r="K12" t="s">
        <v>11</v>
      </c>
    </row>
    <row r="13" spans="1:14" x14ac:dyDescent="0.3">
      <c r="A13" s="2">
        <v>1000</v>
      </c>
      <c r="B13" s="4">
        <f t="shared" si="0"/>
        <v>2.4919908466819223</v>
      </c>
      <c r="C13">
        <f t="shared" si="1"/>
        <v>773</v>
      </c>
      <c r="D13">
        <f t="shared" si="2"/>
        <v>144</v>
      </c>
      <c r="G13">
        <v>4700</v>
      </c>
      <c r="H13" s="5">
        <f t="shared" si="3"/>
        <v>1.3494423791821559</v>
      </c>
      <c r="I13">
        <f t="shared" si="4"/>
        <v>419</v>
      </c>
      <c r="J13">
        <f t="shared" si="5"/>
        <v>56</v>
      </c>
    </row>
    <row r="14" spans="1:14" x14ac:dyDescent="0.3">
      <c r="A14" s="2">
        <v>2000</v>
      </c>
      <c r="B14" s="4">
        <f t="shared" si="0"/>
        <v>2.0279329608938546</v>
      </c>
      <c r="C14">
        <f t="shared" si="1"/>
        <v>629</v>
      </c>
      <c r="D14">
        <f t="shared" si="2"/>
        <v>22</v>
      </c>
      <c r="G14" s="2">
        <v>5940</v>
      </c>
      <c r="H14" s="5">
        <f t="shared" si="3"/>
        <v>1.1697099892588612</v>
      </c>
      <c r="I14">
        <f t="shared" si="4"/>
        <v>363</v>
      </c>
      <c r="J14">
        <f t="shared" si="5"/>
        <v>31</v>
      </c>
      <c r="K14" t="s">
        <v>12</v>
      </c>
    </row>
    <row r="15" spans="1:14" x14ac:dyDescent="0.3">
      <c r="A15" s="3">
        <v>2200</v>
      </c>
      <c r="B15" s="1">
        <f t="shared" si="0"/>
        <v>1.9551166965888687</v>
      </c>
      <c r="C15">
        <f t="shared" si="1"/>
        <v>607</v>
      </c>
      <c r="D15">
        <f t="shared" si="2"/>
        <v>100</v>
      </c>
      <c r="G15">
        <v>6800</v>
      </c>
      <c r="H15" s="5">
        <f t="shared" si="3"/>
        <v>1.0707964601769908</v>
      </c>
      <c r="I15">
        <f t="shared" si="4"/>
        <v>332</v>
      </c>
      <c r="J15">
        <f t="shared" si="5"/>
        <v>41</v>
      </c>
    </row>
    <row r="16" spans="1:14" x14ac:dyDescent="0.3">
      <c r="A16" s="2">
        <v>3300</v>
      </c>
      <c r="B16" s="4">
        <f t="shared" si="0"/>
        <v>1.6326836581709143</v>
      </c>
      <c r="C16">
        <f t="shared" si="1"/>
        <v>507</v>
      </c>
      <c r="D16">
        <f t="shared" si="2"/>
        <v>88</v>
      </c>
      <c r="E16">
        <f>SUM(D14:D15)</f>
        <v>122</v>
      </c>
      <c r="G16" s="2">
        <v>8245</v>
      </c>
      <c r="H16" s="5">
        <f t="shared" si="3"/>
        <v>0.93758071459319847</v>
      </c>
      <c r="I16">
        <f t="shared" si="4"/>
        <v>291</v>
      </c>
      <c r="J16">
        <f t="shared" si="5"/>
        <v>38</v>
      </c>
      <c r="K16" t="s">
        <v>13</v>
      </c>
    </row>
    <row r="17" spans="1:11" x14ac:dyDescent="0.3">
      <c r="A17" s="2">
        <v>4700</v>
      </c>
      <c r="B17" s="4">
        <f t="shared" si="0"/>
        <v>1.3494423791821559</v>
      </c>
      <c r="C17">
        <f t="shared" si="1"/>
        <v>419</v>
      </c>
      <c r="D17">
        <f t="shared" si="2"/>
        <v>20</v>
      </c>
      <c r="G17">
        <v>10000</v>
      </c>
      <c r="H17" s="5">
        <f t="shared" si="3"/>
        <v>0.81451009723261025</v>
      </c>
      <c r="I17">
        <f t="shared" si="4"/>
        <v>253</v>
      </c>
      <c r="J17">
        <f t="shared" si="5"/>
        <v>62</v>
      </c>
    </row>
    <row r="18" spans="1:11" x14ac:dyDescent="0.3">
      <c r="A18">
        <v>5100</v>
      </c>
      <c r="B18" s="1">
        <f t="shared" si="0"/>
        <v>1.2857142857142856</v>
      </c>
      <c r="C18">
        <f t="shared" si="1"/>
        <v>399</v>
      </c>
      <c r="D18">
        <f t="shared" si="2"/>
        <v>67</v>
      </c>
      <c r="G18" s="2">
        <v>14366</v>
      </c>
      <c r="H18" s="5">
        <f t="shared" si="3"/>
        <v>0.61400541271989173</v>
      </c>
      <c r="I18">
        <f t="shared" si="4"/>
        <v>191</v>
      </c>
      <c r="J18">
        <f t="shared" si="5"/>
        <v>46</v>
      </c>
      <c r="K18" t="s">
        <v>14</v>
      </c>
    </row>
    <row r="19" spans="1:11" x14ac:dyDescent="0.3">
      <c r="A19" s="2">
        <v>6800</v>
      </c>
      <c r="B19" s="4">
        <f t="shared" si="0"/>
        <v>1.0707964601769908</v>
      </c>
      <c r="C19">
        <f t="shared" si="1"/>
        <v>332</v>
      </c>
      <c r="D19">
        <f t="shared" si="2"/>
        <v>79</v>
      </c>
      <c r="E19">
        <f>SUM(D17:D18)</f>
        <v>87</v>
      </c>
      <c r="G19">
        <v>20000</v>
      </c>
      <c r="H19" s="5">
        <f t="shared" si="3"/>
        <v>0.46598202824133494</v>
      </c>
      <c r="I19">
        <f t="shared" si="4"/>
        <v>145</v>
      </c>
      <c r="J19">
        <f>I19-I20</f>
        <v>78</v>
      </c>
    </row>
    <row r="20" spans="1:11" x14ac:dyDescent="0.3">
      <c r="A20" s="2">
        <v>10000</v>
      </c>
      <c r="B20" s="4">
        <f t="shared" si="0"/>
        <v>0.81451009723261025</v>
      </c>
      <c r="C20">
        <f t="shared" si="1"/>
        <v>253</v>
      </c>
      <c r="D20">
        <f t="shared" si="2"/>
        <v>108</v>
      </c>
      <c r="G20">
        <v>47000</v>
      </c>
      <c r="H20" s="5">
        <f t="shared" si="3"/>
        <v>0.21620011911852277</v>
      </c>
      <c r="I20">
        <f t="shared" si="4"/>
        <v>67</v>
      </c>
      <c r="J20">
        <f>I20-I21</f>
        <v>34</v>
      </c>
    </row>
    <row r="21" spans="1:11" x14ac:dyDescent="0.3">
      <c r="A21" s="2">
        <v>20000</v>
      </c>
      <c r="B21" s="4">
        <f t="shared" si="0"/>
        <v>0.46598202824133494</v>
      </c>
      <c r="C21">
        <f t="shared" si="1"/>
        <v>145</v>
      </c>
      <c r="D21">
        <f t="shared" si="2"/>
        <v>78</v>
      </c>
      <c r="G21">
        <v>100000</v>
      </c>
      <c r="H21" s="5">
        <f t="shared" si="3"/>
        <v>0.10534971461739362</v>
      </c>
      <c r="I21">
        <f t="shared" si="4"/>
        <v>33</v>
      </c>
      <c r="J21">
        <f>I21-H23</f>
        <v>33</v>
      </c>
    </row>
    <row r="22" spans="1:11" x14ac:dyDescent="0.3">
      <c r="A22" s="2">
        <v>47000</v>
      </c>
      <c r="B22" s="4">
        <f t="shared" si="0"/>
        <v>0.21620011911852277</v>
      </c>
      <c r="C22">
        <f t="shared" si="1"/>
        <v>67</v>
      </c>
      <c r="D22">
        <f t="shared" si="2"/>
        <v>5</v>
      </c>
    </row>
    <row r="23" spans="1:11" x14ac:dyDescent="0.3">
      <c r="A23">
        <v>51000</v>
      </c>
      <c r="B23" s="1">
        <f t="shared" si="0"/>
        <v>0.20029427993378679</v>
      </c>
      <c r="C23">
        <f t="shared" si="1"/>
        <v>62</v>
      </c>
      <c r="D23">
        <f t="shared" si="2"/>
        <v>15</v>
      </c>
    </row>
    <row r="24" spans="1:11" x14ac:dyDescent="0.3">
      <c r="A24">
        <v>68000</v>
      </c>
      <c r="B24" s="1">
        <f t="shared" si="0"/>
        <v>0.15258511979823419</v>
      </c>
      <c r="C24">
        <f t="shared" si="1"/>
        <v>47</v>
      </c>
      <c r="D24">
        <f t="shared" si="2"/>
        <v>14</v>
      </c>
    </row>
    <row r="25" spans="1:11" x14ac:dyDescent="0.3">
      <c r="A25" s="2">
        <v>100000</v>
      </c>
      <c r="B25" s="1">
        <f t="shared" si="0"/>
        <v>0.10534971461739362</v>
      </c>
      <c r="C25">
        <f t="shared" si="1"/>
        <v>33</v>
      </c>
      <c r="D25">
        <f t="shared" si="2"/>
        <v>18</v>
      </c>
      <c r="E25">
        <f>SUM(D22:D24)</f>
        <v>34</v>
      </c>
    </row>
    <row r="26" spans="1:11" x14ac:dyDescent="0.3">
      <c r="A26">
        <v>220000</v>
      </c>
      <c r="B26" s="1">
        <f t="shared" si="0"/>
        <v>4.87531897748128E-2</v>
      </c>
      <c r="C26">
        <f t="shared" si="1"/>
        <v>15</v>
      </c>
      <c r="D26">
        <f t="shared" si="2"/>
        <v>4</v>
      </c>
    </row>
    <row r="27" spans="1:11" x14ac:dyDescent="0.3">
      <c r="A27">
        <v>300000</v>
      </c>
      <c r="B27" s="1">
        <f t="shared" si="0"/>
        <v>3.5896759732339856E-2</v>
      </c>
      <c r="C27">
        <f t="shared" si="1"/>
        <v>11</v>
      </c>
      <c r="D27">
        <f t="shared" si="2"/>
        <v>4</v>
      </c>
    </row>
    <row r="28" spans="1:11" x14ac:dyDescent="0.3">
      <c r="A28">
        <v>470000</v>
      </c>
      <c r="B28" s="1">
        <f t="shared" si="0"/>
        <v>2.3005260155903429E-2</v>
      </c>
      <c r="C28">
        <f t="shared" si="1"/>
        <v>7</v>
      </c>
      <c r="D28">
        <f t="shared" si="2"/>
        <v>2</v>
      </c>
    </row>
    <row r="29" spans="1:11" x14ac:dyDescent="0.3">
      <c r="A29">
        <v>680000</v>
      </c>
      <c r="B29" s="1">
        <f t="shared" si="0"/>
        <v>1.5935730277887306E-2</v>
      </c>
      <c r="C29">
        <f t="shared" si="1"/>
        <v>5</v>
      </c>
      <c r="D29">
        <f t="shared" si="2"/>
        <v>2</v>
      </c>
    </row>
    <row r="30" spans="1:11" x14ac:dyDescent="0.3">
      <c r="A30">
        <v>1000000</v>
      </c>
      <c r="B30" s="1">
        <f t="shared" si="0"/>
        <v>1.0853423961250552E-2</v>
      </c>
      <c r="C30">
        <f t="shared" si="1"/>
        <v>3</v>
      </c>
      <c r="D30">
        <v>0</v>
      </c>
    </row>
  </sheetData>
  <sortState ref="A3:A30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2026-03-05T13:16:10Z</dcterms:modified>
</cp:coreProperties>
</file>